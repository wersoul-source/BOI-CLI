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F:\.Agent-CLI\BOI-CLI\outputs\boi-cli-definition-20260821\"/>
    </mc:Choice>
  </mc:AlternateContent>
  <xr:revisionPtr revIDLastSave="0" documentId="13_ncr:1_{4B9B9B2B-D312-418A-98A7-380AD5C78654}" xr6:coauthVersionLast="47" xr6:coauthVersionMax="47" xr10:uidLastSave="{00000000-0000-0000-0000-000000000000}"/>
  <bookViews>
    <workbookView xWindow="28680" yWindow="-930" windowWidth="29040" windowHeight="15720" activeTab="2" xr2:uid="{00000000-000D-0000-FFFF-FFFF00000000}"/>
  </bookViews>
  <sheets>
    <sheet name="ภาพรวม" sheetId="1" r:id="rId1"/>
    <sheet name="องค์ประกอบ" sheetId="2" r:id="rId2"/>
    <sheet name="คำสั่ง CLI" sheetId="3" r:id="rId3"/>
    <sheet name="Product Contract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6" i="1" l="1"/>
  <c r="B5" i="1"/>
  <c r="B7" i="1" s="1"/>
</calcChain>
</file>

<file path=xl/sharedStrings.xml><?xml version="1.0" encoding="utf-8"?>
<sst xmlns="http://schemas.openxmlformats.org/spreadsheetml/2006/main" count="240" uniqueCount="235">
  <si>
    <t>BOI CLI Definition Worksheet</t>
  </si>
  <si>
    <t>พื้นที่กรอกนิยามของหัวหน้าเอ เพื่อเทียบกับข้อเสนอของบ๋อยก่อนปิด CLI Product Contract</t>
  </si>
  <si>
    <t>คำสั่งทั้งหมด</t>
  </si>
  <si>
    <t>กำหนดสถานะแล้ว</t>
  </si>
  <si>
    <t>รอตรวจ</t>
  </si>
  <si>
    <t>หัวข้อ</t>
  </si>
  <si>
    <t>คำตอบของหัวหน้าเอ</t>
  </si>
  <si>
    <t>Outcome หลักของ BOI CLI</t>
  </si>
  <si>
    <t>ผู้ใช้หลัก</t>
  </si>
  <si>
    <t>งานหลัก 3 อันดับแรก</t>
  </si>
  <si>
    <t>สิ่งที่ BOI CLI ต้องไม่ทำ</t>
  </si>
  <si>
    <t>คำสั่งที่ต้องเพิ่ม</t>
  </si>
  <si>
    <t>คำสั่งที่ควรถอดออก</t>
  </si>
  <si>
    <t>รูปแบบ automation/JSON ที่ต้องรองรับ</t>
  </si>
  <si>
    <t>ขอบเขต security ที่ต้องการ</t>
  </si>
  <si>
    <t>นิยามคำว่า “พร้อมใช้งานจริง”</t>
  </si>
  <si>
    <t>วิธีใช้: เติมช่องสีเหลือง → เลือกสถานะในชีตคำสั่ง CLI/Product Contract → ใช้ผลนี้เป็นฐานอนุมัติการเปลี่ยนโค้ด</t>
  </si>
  <si>
    <t>นิยามองค์ประกอบหลัก</t>
  </si>
  <si>
    <t>องค์ประกอบ</t>
  </si>
  <si>
    <t>นิยามของบ๋อย</t>
  </si>
  <si>
    <t>นิยามของหัวหน้าเอ</t>
  </si>
  <si>
    <t>BOI CLI</t>
  </si>
  <si>
    <t>ประตูหลักสำหรับเข้าถึง Agent Runtime ของ BOI ผ่าน TUI และคำสั่งแบบ non-interactive ภายใต้ workspace ที่กำหนด</t>
  </si>
  <si>
    <t>TUI</t>
  </si>
  <si>
    <t>พื้นที่ทำงานหลักสำหรับสนทนา สังเกตสถานะ และอนุมัติการกระทำของ Agent แบบโต้ตอบ</t>
  </si>
  <si>
    <t>Agent</t>
  </si>
  <si>
    <t>วงจรตัดสินใจแบบมีขอบเขต ทำงานตามลำดับ Observe → Decide → Authorize → Act → Verify → Recover โดยไม่มีสิทธิ์อนุมัติตัวเอง</t>
  </si>
  <si>
    <t>Agent Service</t>
  </si>
  <si>
    <t>จุดเข้าใช้งาน Agent เพียงชุดเดียวที่ CLI และ TUI ใช้ร่วมกัน เพื่อไม่ให้ policy และพฤติกรรมแยกคนละทาง</t>
  </si>
  <si>
    <t>Persona</t>
  </si>
  <si>
    <t>ชุดตัวตน วิธีคิด น้ำเสียง และค่าการใช้โมเดลของ Agent ไม่ใช่สิทธิ์ในการใช้เครื่องมือ</t>
  </si>
  <si>
    <t>Provider</t>
  </si>
  <si>
    <t>ช่องทางเชื่อมต่อโมเดล AI ที่ Router สามารถ retry หรือ failover ตามประเภทข้อผิดพลาดและงบที่กำหนด</t>
  </si>
  <si>
    <t>Skill</t>
  </si>
  <si>
    <t>ความรู้และขั้นตอนเฉพาะด้านที่เพิ่มวิธีทำงานให้ Agent แต่ไม่เพิ่มสิทธิ์เข้าถึงระบบโดยอัตโนมัติ</t>
  </si>
  <si>
    <t>Memory</t>
  </si>
  <si>
    <t>บริบทข้ามรอบการทำงานที่บันทึกและค้นคืนได้ โดยต้องแยก “ข้อมูลที่จำ” ออกจาก “คำสั่งที่มีอำนาจ”</t>
  </si>
  <si>
    <t>Weight Engine</t>
  </si>
  <si>
    <t>กลไกอธิบายคะแนนความเกี่ยวข้องหรือความสำคัญของ Memory เพื่อให้ตรวจสอบเหตุผลการเลือกข้อมูลได้</t>
  </si>
  <si>
    <t>Workspace</t>
  </si>
  <si>
    <t>ขอบเขตโปรเจกต์ที่ BOI CLI กำลังให้บริการและเป็นฐานของ path, config, personas, skills และ memory</t>
  </si>
  <si>
    <t>Workspace Sandbox</t>
  </si>
  <si>
    <t>ขอบเขตตรวจสอบ path และ symlink ภายใน workspace ไม่ใช่ container หรือ OS sandbox</t>
  </si>
  <si>
    <t>Capability Broker</t>
  </si>
  <si>
    <t>เจ้าของทะเบียนเครื่องมือและ policy ฝั่ง host ทำหน้าที่แปลงข้อเสนอจากโมเดลเป็น Tool Call ที่มี risk, approval, timeout และ preview ที่เชื่อถือได้</t>
  </si>
  <si>
    <t>Approval</t>
  </si>
  <si>
    <t>การอนุญาตการกระทำหนึ่งครั้งต่อ Tool Call ที่แสดงจริง ผูกด้วย fingerprint มีวันหมดอายุ และไม่ใช้ Enter เป็นการอนุมัติ</t>
  </si>
  <si>
    <t>MCP</t>
  </si>
  <si>
    <t>ช่องทางเพิ่มเครื่องมือภายนอกแบบ opt-in ซึ่งต้องผ่าน Capability Broker และจัดเป็น external risk เสมอ</t>
  </si>
  <si>
    <t>Subagent</t>
  </si>
  <si>
    <t>Agent ย่อยที่รับงาน งบ และสิทธิ์แบบแยกขอบเขต ปัจจุบันยังปิดไว้จนกว่าจะมี isolation และ acceptance contract</t>
  </si>
  <si>
    <t>นิยามคำสั่ง BOI CLI</t>
  </si>
  <si>
    <t>ID</t>
  </si>
  <si>
    <t>คำสั่ง</t>
  </si>
  <si>
    <t>พฤติกรรมที่พบในปัจจุบัน</t>
  </si>
  <si>
    <t>ขอบเขต/ความเสี่ยงที่บ๋อยเสนอ</t>
  </si>
  <si>
    <t>สถานะ</t>
  </si>
  <si>
    <t>C01</t>
  </si>
  <si>
    <t>boi</t>
  </si>
  <si>
    <t>เปิด TUI เมื่อไม่ระบุคำสั่ง</t>
  </si>
  <si>
    <t>เปิด Workspace Console หลักสำหรับสนทนา ดูสถานะ และอนุมัติงานของ Agent</t>
  </si>
  <si>
    <t>Interactive; การเปลี่ยนแปลงต้องผ่าน Approval Panel</t>
  </si>
  <si>
    <t>C02</t>
  </si>
  <si>
    <t>boi ask QUERY</t>
  </si>
  <si>
    <t>ส่งงานให้ Agent Service พร้อม persona, memory, provider และ step limit</t>
  </si>
  <si>
    <t>ช่องทางถามหรือมอบหมายงานแบบ non-interactive สำหรับผู้ใช้และ automation</t>
  </si>
  <si>
    <t>Read ทำได้ตาม policy; write/process/external ต้องไม่ auto-approve</t>
  </si>
  <si>
    <t>C03</t>
  </si>
  <si>
    <t>boi run COMMAND</t>
  </si>
  <si>
    <t>รัน shell command โดยใช้ workspace เป็น working directory และตรวจ deny patterns</t>
  </si>
  <si>
    <t>ช่องทางรันคำสั่งที่ผู้ใช้ระบุเองโดยตรง ไม่ใช่คำสั่งที่ Agent เลือก</t>
  </si>
  <si>
    <t>Execute risk; ควรแยกให้ชัดว่าเป็น user-authorized direct command แต่ยังไม่ใช่ OS sandbox</t>
  </si>
  <si>
    <t>C04</t>
  </si>
  <si>
    <t>boi init</t>
  </si>
  <si>
    <t>สร้าง .boi/config.yaml, skills และ memory ใน directory ปัจจุบัน</t>
  </si>
  <si>
    <t>ประกาศ directory ปัจจุบันให้เป็น BOI Workspace และสร้างโครงขั้นต่ำแบบปลอดภัย</t>
  </si>
  <si>
    <t>Change risk; --force ต้องระบุสิ่งที่จะถูกเขียนทับให้ชัด</t>
  </si>
  <si>
    <t>C05</t>
  </si>
  <si>
    <t>boi setup</t>
  </si>
  <si>
    <t>เปิด TUI wizard ตั้งค่า provider; --refresh ยังใช้ embedded registry</t>
  </si>
  <si>
    <t>ขั้นตอน onboarding และตรวจความพร้อมของ Provider Supply Chain</t>
  </si>
  <si>
    <t>Secret-handling; ห้ามแสดง API key และต้องบอกตำแหน่งจัดเก็บ</t>
  </si>
  <si>
    <t>C06</t>
  </si>
  <si>
    <t>boi config</t>
  </si>
  <si>
    <t>แสดงสรุป config หรือ YAML ด้วย --all</t>
  </si>
  <si>
    <t>อ่าน effective configuration พร้อมบอกแหล่งที่มาและลำดับ precedence</t>
  </si>
  <si>
    <t>Read-only; secrets ต้อง masked เสมอ</t>
  </si>
  <si>
    <t>C07</t>
  </si>
  <si>
    <t>boi doctor</t>
  </si>
  <si>
    <t>ตรวจ Go, workspace, config, personas, skills, memory, providers, binary และ OS</t>
  </si>
  <si>
    <t>ตรวจสุขภาพระบบและให้คำแนะนำแก้ไขโดยไม่เปลี่ยน state</t>
  </si>
  <si>
    <t>Read-only diagnostic; สถานะเตือนต้องแยกจากสถานะล้มเหลว</t>
  </si>
  <si>
    <t>C08</t>
  </si>
  <si>
    <t>boi provider</t>
  </si>
  <si>
    <t>เป็น namespace ของคำสั่ง provider</t>
  </si>
  <si>
    <t>ศูนย์จัดการ Provider Supply Chain และ active routing preference</t>
  </si>
  <si>
    <t>ไม่มี side effect หากเรียก namespace อย่างเดียว</t>
  </si>
  <si>
    <t>C09</t>
  </si>
  <si>
    <t>boi provider list</t>
  </si>
  <si>
    <t>แสดง provider จากตัวแปร PSC_*</t>
  </si>
  <si>
    <t>แสดง provider ที่พร้อมใช้งาน ลำดับ routing และสถานะโดยไม่เปิดเผย secret</t>
  </si>
  <si>
    <t>Read-only; ห้ามพิมพ์ credential</t>
  </si>
  <si>
    <t>C10</t>
  </si>
  <si>
    <t>boi provider switch NAME</t>
  </si>
  <si>
    <t>ตรวจชื่อ provider แล้วบันทึกลง config</t>
  </si>
  <si>
    <t>เปลี่ยน provider ที่ต้องการให้เป็นค่าเริ่มต้นของ workspace</t>
  </si>
  <si>
    <t>Change config; ต้องบอกว่ามีผลทันทีหรือหลัง restart</t>
  </si>
  <si>
    <t>C11</t>
  </si>
  <si>
    <t>boi model NAME</t>
  </si>
  <si>
    <t>บันทึกชื่อ model ลง config</t>
  </si>
  <si>
    <t>เลือก model เริ่มต้นภายใต้ provider ปัจจุบัน</t>
  </si>
  <si>
    <t>Change config; ควร validate compatibility ก่อนบันทึก</t>
  </si>
  <si>
    <t>C12</t>
  </si>
  <si>
    <t>boi persona</t>
  </si>
  <si>
    <t>เป็น namespace ของ persona</t>
  </si>
  <si>
    <t>ศูนย์จัดการตัวตนและรูปแบบการคิดของ Agent</t>
  </si>
  <si>
    <t>Persona ไม่ควรเปลี่ยน tool authority</t>
  </si>
  <si>
    <t>C13</t>
  </si>
  <si>
    <t>boi persona list</t>
  </si>
  <si>
    <t>แสดง persona และทำเครื่องหมายตัวที่ active</t>
  </si>
  <si>
    <t>แสดง persona ที่โหลดได้ แหล่งที่มา และตัวที่ใช้งานอยู่</t>
  </si>
  <si>
    <t>Read-only</t>
  </si>
  <si>
    <t>C14</t>
  </si>
  <si>
    <t>boi persona switch NAME</t>
  </si>
  <si>
    <t>เปลี่ยน persona ใน config</t>
  </si>
  <si>
    <t>เปลี่ยนตัวตนเริ่มต้นของ Agent สำหรับ workspace</t>
  </si>
  <si>
    <t>Change config; ไม่เปลี่ยน provider/model โดยเงียบ</t>
  </si>
  <si>
    <t>C15</t>
  </si>
  <si>
    <t>boi persona init</t>
  </si>
  <si>
    <t>คัดลอก persona ค่าเริ่มต้นโดยไม่ทับไฟล์เดิม</t>
  </si>
  <si>
    <t>ติดตั้ง persona มาตรฐานลง workspace เพื่อให้แก้ไขต่อได้</t>
  </si>
  <si>
    <t>Change files; default ต้องไม่ overwrite</t>
  </si>
  <si>
    <t>C16</t>
  </si>
  <si>
    <t>boi persona wizard</t>
  </si>
  <si>
    <t>ให้เลือก persona แบบ interactive และอาจปรับ provider/model</t>
  </si>
  <si>
    <t>onboarding สำหรับเลือกสไตล์การทำงานของ Agent</t>
  </si>
  <si>
    <t>Change config; ทุก field ที่จะเปลี่ยนควรมี summary ก่อนยืนยัน</t>
  </si>
  <si>
    <t>C17</t>
  </si>
  <si>
    <t>boi skill</t>
  </si>
  <si>
    <t>เป็น namespace ของ skill</t>
  </si>
  <si>
    <t>ศูนย์จัดการความสามารถเชิงความรู้และ workflow ของ Agent</t>
  </si>
  <si>
    <t>Skill ไม่ได้รับ capability เพิ่มอัตโนมัติ</t>
  </si>
  <si>
    <t>C18</t>
  </si>
  <si>
    <t>boi skill list</t>
  </si>
  <si>
    <t>โหลดและแสดง skills ใน .boi/skills</t>
  </si>
  <si>
    <t>แสดง skill ที่ Agent มองเห็น พร้อมสถานะ valid/invalid และ requirements</t>
  </si>
  <si>
    <t>C19</t>
  </si>
  <si>
    <t>boi skill init</t>
  </si>
  <si>
    <t>สร้างตัวอย่าง git และ web หากยังไม่มี</t>
  </si>
  <si>
    <t>ติดตั้ง starter skills ที่ปลอดภัยและตรวจสอบได้</t>
  </si>
  <si>
    <t>Change files; ไม่ overwrite</t>
  </si>
  <si>
    <t>C20</t>
  </si>
  <si>
    <t>boi skill show NAME</t>
  </si>
  <si>
    <t>แสดง metadata และ prompt ของ skill</t>
  </si>
  <si>
    <t>ตรวจสอบเนื้อหา แหล่งที่มา และ requirements ของ skill ก่อนใช้</t>
  </si>
  <si>
    <t>Read-only; เนื้อหา skill ถือเป็น untrusted instructions จนผ่าน policy</t>
  </si>
  <si>
    <t>C21</t>
  </si>
  <si>
    <t>boi memory</t>
  </si>
  <si>
    <t>เป็น namespace ของ Phantom DB</t>
  </si>
  <si>
    <t>ศูนย์จัดการบริบทข้าม session ภายใน workspace</t>
  </si>
  <si>
    <t>ต้องแยก read, write, delete และ export ให้ชัด</t>
  </si>
  <si>
    <t>C22</t>
  </si>
  <si>
    <t>boi memory search QUERY</t>
  </si>
  <si>
    <t>ค้นสูงสุด 10 รายการพร้อม score</t>
  </si>
  <si>
    <t>ค้นหลักฐานหรือบริบทที่เกี่ยวข้อง โดยผลค้นหาไม่มี authority เหนือ user/system</t>
  </si>
  <si>
    <t>C23</t>
  </si>
  <si>
    <t>boi memory stats</t>
  </si>
  <si>
    <t>แสดงสถิติและตำแหน่งจัดเก็บ</t>
  </si>
  <si>
    <t>แสดงสุขภาพ ปริมาณ ขนาด และชนิดข้อมูลใน memory store</t>
  </si>
  <si>
    <t>Read-only; ไม่ควรเปิดเผยเนื้อหาความลับ</t>
  </si>
  <si>
    <t>C24</t>
  </si>
  <si>
    <t>boi memory save TYPE KEY CONTENT</t>
  </si>
  <si>
    <t>บันทึก MemoryEntry ใหม่ด้วย score เริ่มต้น</t>
  </si>
  <si>
    <t>บันทึกความจำแบบ explicit ที่ผู้ใช้ระบุ พร้อม provenance และเวลา</t>
  </si>
  <si>
    <t>Change data; ควรมี validation และ duplicate policy</t>
  </si>
  <si>
    <t>C25</t>
  </si>
  <si>
    <t>boi memory repomap</t>
  </si>
  <si>
    <t>สแกนและสรุปโครงสร้าง repository</t>
  </si>
  <si>
    <t>สร้างภาพรวม workspace เพื่อช่วย Agent ทำความเข้าใจโครงสร้าง</t>
  </si>
  <si>
    <t>Read-only scan; ต้องมี ignore และขนาดจำกัด</t>
  </si>
  <si>
    <t>C26</t>
  </si>
  <si>
    <t>boi memory init</t>
  </si>
  <si>
    <t>สร้าง .boi/memory.md จาก template</t>
  </si>
  <si>
    <t>สร้างไฟล์ Project Memory ที่มนุษย์อ่านและแก้ไขได้</t>
  </si>
  <si>
    <t>Change file; ต้องไม่ overwrite โดยไม่ยืนยัน</t>
  </si>
  <si>
    <t>C27</t>
  </si>
  <si>
    <t>boi weight</t>
  </si>
  <si>
    <t>เป็น namespace ของ Weight Engine</t>
  </si>
  <si>
    <t>ศูนย์อธิบาย ranking policy ของ memory/context</t>
  </si>
  <si>
    <t>ไม่มี side effect</t>
  </si>
  <si>
    <t>C28</t>
  </si>
  <si>
    <t>boi weight explain PATTERN</t>
  </si>
  <si>
    <t>ค้น memory หนึ่งรายการแล้วแสดงองค์ประกอบคะแนน</t>
  </si>
  <si>
    <t>อธิบายว่าทำไม Memory จึงถูกจัดลำดับ เพื่อให้ตรวจสอบและปรับ policy ได้</t>
  </si>
  <si>
    <t>Read-only; ต้องแสดงสูตร/ปัจจัยที่มีผล</t>
  </si>
  <si>
    <t>C29</t>
  </si>
  <si>
    <t>boi upgrade</t>
  </si>
  <si>
    <t>ตรวจ release ล่าสุด ดาวน์โหลด แทน binary และ restart; --check ตรวจอย่างเดียว</t>
  </si>
  <si>
    <t>workflow อัปเดตตัวโปรแกรมที่ตรวจ version, artifact และความน่าเชื่อถือก่อนแทน binary</t>
  </si>
  <si>
    <t>Critical change; ควร verify checksum/signature และรองรับ rollback</t>
  </si>
  <si>
    <t>C30</t>
  </si>
  <si>
    <t>boi uninstall</t>
  </si>
  <si>
    <t>ยืนยันก่อนลบ data และตั้งเวลาลบ binary บน Windows</t>
  </si>
  <si>
    <t>ถอนเฉพาะส่วนที่ผู้ใช้เลือก พร้อมแสดงรายการผลกระทบและทางกู้คืน</t>
  </si>
  <si>
    <t>Destructive; default ควรเก็บ data หรือขอเลือกอย่างชัดเจน</t>
  </si>
  <si>
    <t>C31</t>
  </si>
  <si>
    <t>boi version</t>
  </si>
  <si>
    <t>แสดง version, Go build และ architecture label</t>
  </si>
  <si>
    <t>แสดงข้อมูล build ที่เสถียรสำหรับคนและ automation</t>
  </si>
  <si>
    <t>Read-only; ควรมี machine-readable mode ในอนาคต</t>
  </si>
  <si>
    <t>CLI Product Contract Decisions</t>
  </si>
  <si>
    <t>Contract dimension</t>
  </si>
  <si>
    <t>ข้อเสนอของบ๋อย</t>
  </si>
  <si>
    <t>ข้อกำหนดของหัวหน้าเอ</t>
  </si>
  <si>
    <t>Command lifecycle</t>
  </si>
  <si>
    <t>ระบุคำสั่งที่ Keep, Change, Remove และ Add</t>
  </si>
  <si>
    <t>Arguments and flags</t>
  </si>
  <si>
    <t>กำหนดชื่อ ชนิด required/default และ compatibility promise</t>
  </si>
  <si>
    <t>Input streams</t>
  </si>
  <si>
    <t>ระบุว่าแต่ละคำสั่งรับ argv, stdin, file หรือ TTY prompt อย่างไร</t>
  </si>
  <si>
    <t>Output streams</t>
  </si>
  <si>
    <t>แยก normal output ไป stdout และ diagnostic ไป stderr</t>
  </si>
  <si>
    <t>Exit codes</t>
  </si>
  <si>
    <t>กำหนดรหัส success, invalid input, denied, cancelled, unavailable และ internal error</t>
  </si>
  <si>
    <t>Machine-readable output</t>
  </si>
  <si>
    <t>เลือกคำสั่งที่ต้องมี --json และกำหนด schema/version</t>
  </si>
  <si>
    <t>Config precedence</t>
  </si>
  <si>
    <t>เสนอ flags &gt; environment &gt; workspace config &gt; user config &gt; defaults</t>
  </si>
  <si>
    <t>Destructive actions</t>
  </si>
  <si>
    <t>กำหนด preview, confirmation, --force, dry-run และ recovery policy</t>
  </si>
  <si>
    <t>TUI/CLI parity</t>
  </si>
  <si>
    <t>ใช้ Agent Service และ policy ชุดเดียวกัน แต่ rendering และ approval UX ต่างกันได้</t>
  </si>
  <si>
    <t>Compatibility</t>
  </si>
  <si>
    <t>ไม่เปลี่ยนชื่อ ค่าปริยาย หรือ output shape โดยไม่มี migration/deprecation plan</t>
  </si>
  <si>
    <t>ผลลัพท์ "ตามสิ่งที่ผู้ใช้ต้องการ และเป็น สิ่งที่ BOI CLI ทำได้ หากทำไม่ได้ต้องบอกข้อจำกัด และแนวทางแก้ไขที่เป็นไปได้ให้กับผู้ใช้งาน"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</si>
</sst>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name val="Carlito"/>
    </font>
    <font>
      <b/>
      <sz val="16"/>
      <color rgb="FFFFFFFF"/>
      <name val="Carlito"/>
    </font>
    <font>
      <i/>
      <sz val="11"/>
      <color rgb="FF1F2937"/>
      <name val="Carlito"/>
    </font>
    <font>
      <b/>
      <sz val="11"/>
      <color rgb="FFFFFFFF"/>
      <name val="Carlito"/>
    </font>
    <font>
      <b/>
      <sz val="14"/>
      <color rgb="FF1F2937"/>
      <name val="Carlito"/>
    </font>
    <font>
      <sz val="10"/>
      <color rgb="FF1F2937"/>
      <name val="Carlito"/>
    </font>
    <font>
      <sz val="11"/>
      <name val="Carlito"/>
    </font>
  </fonts>
  <fills count="8">
    <fill>
      <patternFill patternType="none"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2F75B5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8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/>
      <diagonal/>
    </border>
    <border>
      <left style="thin">
        <color rgb="FFD6B656"/>
      </left>
      <right style="thin">
        <color rgb="FFD6B656"/>
      </right>
      <top style="thin">
        <color rgb="FFD6B656"/>
      </top>
      <bottom style="thin">
        <color rgb="FFD6B656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/>
      <diagonal/>
    </border>
  </borders>
  <cellStyleXfs count="2">
    <xf numFmtId="0" fontId="0" fillId="0" borderId="0"/>
    <xf numFmtId="0" fontId="6" fillId="0" borderId="0"/>
  </cellStyleXfs>
  <cellXfs count="15">
    <xf numFmtId="0" fontId="0" fillId="0" borderId="0" xfId="0"/>
    <xf numFmtId="0" fontId="3" fillId="2" borderId="1" xfId="1" applyFont="1" applyFill="1" applyBorder="1"/>
    <xf numFmtId="1" fontId="4" fillId="4" borderId="1" xfId="1" applyNumberFormat="1" applyFont="1" applyFill="1" applyBorder="1" applyAlignment="1">
      <alignment horizontal="center"/>
    </xf>
    <xf numFmtId="0" fontId="3" fillId="5" borderId="1" xfId="1" applyFont="1" applyFill="1" applyBorder="1" applyAlignment="1">
      <alignment vertical="center" wrapText="1"/>
    </xf>
    <xf numFmtId="0" fontId="5" fillId="0" borderId="2" xfId="1" applyFont="1" applyBorder="1" applyAlignment="1">
      <alignment vertical="top" wrapText="1"/>
    </xf>
    <xf numFmtId="0" fontId="5" fillId="0" borderId="3" xfId="1" applyFont="1" applyBorder="1" applyAlignment="1">
      <alignment vertical="top" wrapText="1"/>
    </xf>
    <xf numFmtId="0" fontId="5" fillId="0" borderId="4" xfId="1" applyFont="1" applyBorder="1" applyAlignment="1">
      <alignment vertical="top" wrapText="1"/>
    </xf>
    <xf numFmtId="0" fontId="5" fillId="6" borderId="5" xfId="1" applyFont="1" applyFill="1" applyBorder="1" applyAlignment="1">
      <alignment vertical="top" wrapText="1"/>
    </xf>
    <xf numFmtId="0" fontId="5" fillId="0" borderId="6" xfId="1" applyFont="1" applyBorder="1" applyAlignment="1">
      <alignment vertical="top" wrapText="1"/>
    </xf>
    <xf numFmtId="0" fontId="5" fillId="0" borderId="1" xfId="1" applyFont="1" applyBorder="1" applyAlignment="1">
      <alignment vertical="top" wrapText="1"/>
    </xf>
    <xf numFmtId="0" fontId="5" fillId="0" borderId="7" xfId="1" applyFont="1" applyBorder="1" applyAlignment="1">
      <alignment vertical="top" wrapText="1"/>
    </xf>
    <xf numFmtId="0" fontId="5" fillId="3" borderId="1" xfId="1" applyFont="1" applyFill="1" applyBorder="1" applyAlignment="1">
      <alignment horizontal="center" vertical="center" wrapText="1"/>
    </xf>
    <xf numFmtId="0" fontId="1" fillId="2" borderId="0" xfId="1" applyFont="1" applyFill="1" applyAlignment="1">
      <alignment vertical="center"/>
    </xf>
    <xf numFmtId="0" fontId="2" fillId="3" borderId="0" xfId="1" applyFont="1" applyFill="1" applyAlignment="1">
      <alignment vertical="center" wrapText="1"/>
    </xf>
    <xf numFmtId="0" fontId="2" fillId="7" borderId="0" xfId="1" applyFont="1" applyFill="1" applyAlignment="1">
      <alignment wrapText="1"/>
    </xf>
  </cellXfs>
  <cellStyles count="2">
    <cellStyle name="Normal" xfId="1" xr:uid="{00000000-0005-0000-0000-000000000000}"/>
    <cellStyle name="ปกติ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reDefinitionsTable" displayName="CoreDefinitionsTable" ref="A3:C18" totalsRowShown="0">
  <tableColumns count="3">
    <tableColumn id="1" xr3:uid="{00000000-0010-0000-0000-000001000000}" name="องค์ประกอบ"/>
    <tableColumn id="2" xr3:uid="{00000000-0010-0000-0000-000002000000}" name="นิยามของบ๋อย"/>
    <tableColumn id="3" xr3:uid="{00000000-0010-0000-0000-000003000000}" name="นิยามของหัวหน้าเอ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LICommandsTable" displayName="CLICommandsTable" ref="A3:G34" totalsRowShown="0">
  <tableColumns count="7">
    <tableColumn id="1" xr3:uid="{00000000-0010-0000-0100-000001000000}" name="ID"/>
    <tableColumn id="2" xr3:uid="{00000000-0010-0000-0100-000002000000}" name="คำสั่ง"/>
    <tableColumn id="3" xr3:uid="{00000000-0010-0000-0100-000003000000}" name="พฤติกรรมที่พบในปัจจุบัน"/>
    <tableColumn id="4" xr3:uid="{00000000-0010-0000-0100-000004000000}" name="นิยามของบ๋อย"/>
    <tableColumn id="5" xr3:uid="{00000000-0010-0000-0100-000005000000}" name="ขอบเขต/ความเสี่ยงที่บ๋อยเสนอ"/>
    <tableColumn id="6" xr3:uid="{00000000-0010-0000-0100-000006000000}" name="นิยามของหัวหน้าเอ"/>
    <tableColumn id="7" xr3:uid="{00000000-0010-0000-0100-000007000000}" name="สถานะ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roductContractTable" displayName="ProductContractTable" ref="A3:D13" totalsRowShown="0">
  <tableColumns count="4">
    <tableColumn id="1" xr3:uid="{00000000-0010-0000-0200-000001000000}" name="Contract dimension"/>
    <tableColumn id="2" xr3:uid="{00000000-0010-0000-0200-000002000000}" name="ข้อเสนอของบ๋อย"/>
    <tableColumn id="3" xr3:uid="{00000000-0010-0000-0200-000003000000}" name="ข้อกำหนดของหัวหน้าเอ"/>
    <tableColumn id="4" xr3:uid="{00000000-0010-0000-0200-000004000000}" name="สถานะ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1"/>
  <sheetViews>
    <sheetView showGridLines="0" workbookViewId="0">
      <selection activeCell="B17" sqref="B17"/>
    </sheetView>
  </sheetViews>
  <sheetFormatPr defaultRowHeight="14.25"/>
  <cols>
    <col min="1" max="1" width="30" customWidth="1"/>
    <col min="2" max="2" width="64" customWidth="1"/>
    <col min="3" max="4" width="12" customWidth="1"/>
  </cols>
  <sheetData>
    <row r="1" spans="1:4" ht="30" customHeight="1">
      <c r="A1" s="12" t="s">
        <v>0</v>
      </c>
      <c r="B1" s="12"/>
      <c r="C1" s="12"/>
      <c r="D1" s="12"/>
    </row>
    <row r="3" spans="1:4" ht="33.950000000000003" customHeight="1">
      <c r="A3" s="13" t="s">
        <v>1</v>
      </c>
      <c r="B3" s="13"/>
      <c r="C3" s="13"/>
      <c r="D3" s="13"/>
    </row>
    <row r="5" spans="1:4" ht="18">
      <c r="A5" s="1" t="s">
        <v>2</v>
      </c>
      <c r="B5" s="2">
        <f>COUNTA('คำสั่ง CLI'!A4:A34)</f>
        <v>31</v>
      </c>
    </row>
    <row r="6" spans="1:4" ht="18">
      <c r="A6" s="1" t="s">
        <v>3</v>
      </c>
      <c r="B6" s="2">
        <f>COUNTIF('คำสั่ง CLI'!G4:G34,"Keep")+COUNTIF('คำสั่ง CLI'!G4:G34,"Change")+COUNTIF('คำสั่ง CLI'!G4:G34,"Remove")+COUNTIF('คำสั่ง CLI'!G4:G34,"Add")</f>
        <v>0</v>
      </c>
    </row>
    <row r="7" spans="1:4" ht="18">
      <c r="A7" s="1" t="s">
        <v>4</v>
      </c>
      <c r="B7" s="2">
        <f>B5-B6</f>
        <v>31</v>
      </c>
    </row>
    <row r="10" spans="1:4" ht="30" customHeight="1">
      <c r="A10" s="3" t="s">
        <v>5</v>
      </c>
      <c r="B10" s="3" t="s">
        <v>6</v>
      </c>
    </row>
    <row r="11" spans="1:4" ht="25.5">
      <c r="A11" s="4" t="s">
        <v>7</v>
      </c>
      <c r="B11" s="7" t="s">
        <v>234</v>
      </c>
    </row>
    <row r="12" spans="1:4">
      <c r="A12" s="5" t="s">
        <v>8</v>
      </c>
      <c r="B12" s="7"/>
    </row>
    <row r="13" spans="1:4">
      <c r="A13" s="5" t="s">
        <v>9</v>
      </c>
      <c r="B13" s="7"/>
    </row>
    <row r="14" spans="1:4">
      <c r="A14" s="5" t="s">
        <v>10</v>
      </c>
      <c r="B14" s="7"/>
    </row>
    <row r="15" spans="1:4">
      <c r="A15" s="5" t="s">
        <v>11</v>
      </c>
      <c r="B15" s="7"/>
    </row>
    <row r="16" spans="1:4">
      <c r="A16" s="5" t="s">
        <v>12</v>
      </c>
      <c r="B16" s="7"/>
    </row>
    <row r="17" spans="1:4">
      <c r="A17" s="5" t="s">
        <v>13</v>
      </c>
      <c r="B17" s="7"/>
    </row>
    <row r="18" spans="1:4">
      <c r="A18" s="5" t="s">
        <v>14</v>
      </c>
      <c r="B18" s="7"/>
    </row>
    <row r="19" spans="1:4">
      <c r="A19" s="6" t="s">
        <v>15</v>
      </c>
      <c r="B19" s="7"/>
    </row>
    <row r="21" spans="1:4" ht="33.950000000000003" customHeight="1">
      <c r="A21" s="14" t="s">
        <v>16</v>
      </c>
      <c r="B21" s="14"/>
      <c r="C21" s="14"/>
      <c r="D21" s="14"/>
    </row>
  </sheetData>
  <mergeCells count="3">
    <mergeCell ref="A1:D1"/>
    <mergeCell ref="A3:D3"/>
    <mergeCell ref="A21:D2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8"/>
  <sheetViews>
    <sheetView showGridLines="0" workbookViewId="0">
      <selection sqref="A1:C1"/>
    </sheetView>
  </sheetViews>
  <sheetFormatPr defaultRowHeight="14.25"/>
  <cols>
    <col min="1" max="1" width="24" customWidth="1"/>
    <col min="2" max="3" width="78" customWidth="1"/>
  </cols>
  <sheetData>
    <row r="1" spans="1:3" ht="30" customHeight="1">
      <c r="A1" s="12" t="s">
        <v>17</v>
      </c>
      <c r="B1" s="12"/>
      <c r="C1" s="12"/>
    </row>
    <row r="3" spans="1:3" ht="30" customHeight="1">
      <c r="A3" s="3" t="s">
        <v>18</v>
      </c>
      <c r="B3" s="3" t="s">
        <v>19</v>
      </c>
      <c r="C3" s="3" t="s">
        <v>20</v>
      </c>
    </row>
    <row r="4" spans="1:3" ht="48" customHeight="1">
      <c r="A4" s="4" t="s">
        <v>21</v>
      </c>
      <c r="B4" s="8" t="s">
        <v>22</v>
      </c>
      <c r="C4" s="7"/>
    </row>
    <row r="5" spans="1:3" ht="48" customHeight="1">
      <c r="A5" s="5" t="s">
        <v>23</v>
      </c>
      <c r="B5" s="9" t="s">
        <v>24</v>
      </c>
      <c r="C5" s="7"/>
    </row>
    <row r="6" spans="1:3" ht="48" customHeight="1">
      <c r="A6" s="5" t="s">
        <v>25</v>
      </c>
      <c r="B6" s="9" t="s">
        <v>26</v>
      </c>
      <c r="C6" s="7"/>
    </row>
    <row r="7" spans="1:3" ht="48" customHeight="1">
      <c r="A7" s="5" t="s">
        <v>27</v>
      </c>
      <c r="B7" s="9" t="s">
        <v>28</v>
      </c>
      <c r="C7" s="7"/>
    </row>
    <row r="8" spans="1:3" ht="48" customHeight="1">
      <c r="A8" s="5" t="s">
        <v>29</v>
      </c>
      <c r="B8" s="9" t="s">
        <v>30</v>
      </c>
      <c r="C8" s="7"/>
    </row>
    <row r="9" spans="1:3" ht="48" customHeight="1">
      <c r="A9" s="5" t="s">
        <v>31</v>
      </c>
      <c r="B9" s="9" t="s">
        <v>32</v>
      </c>
      <c r="C9" s="7"/>
    </row>
    <row r="10" spans="1:3" ht="48" customHeight="1">
      <c r="A10" s="5" t="s">
        <v>33</v>
      </c>
      <c r="B10" s="9" t="s">
        <v>34</v>
      </c>
      <c r="C10" s="7"/>
    </row>
    <row r="11" spans="1:3" ht="48" customHeight="1">
      <c r="A11" s="5" t="s">
        <v>35</v>
      </c>
      <c r="B11" s="9" t="s">
        <v>36</v>
      </c>
      <c r="C11" s="7"/>
    </row>
    <row r="12" spans="1:3" ht="48" customHeight="1">
      <c r="A12" s="5" t="s">
        <v>37</v>
      </c>
      <c r="B12" s="9" t="s">
        <v>38</v>
      </c>
      <c r="C12" s="7"/>
    </row>
    <row r="13" spans="1:3" ht="48" customHeight="1">
      <c r="A13" s="5" t="s">
        <v>39</v>
      </c>
      <c r="B13" s="9" t="s">
        <v>40</v>
      </c>
      <c r="C13" s="7"/>
    </row>
    <row r="14" spans="1:3" ht="48" customHeight="1">
      <c r="A14" s="5" t="s">
        <v>41</v>
      </c>
      <c r="B14" s="9" t="s">
        <v>42</v>
      </c>
      <c r="C14" s="7"/>
    </row>
    <row r="15" spans="1:3" ht="48" customHeight="1">
      <c r="A15" s="5" t="s">
        <v>43</v>
      </c>
      <c r="B15" s="9" t="s">
        <v>44</v>
      </c>
      <c r="C15" s="7"/>
    </row>
    <row r="16" spans="1:3" ht="48" customHeight="1">
      <c r="A16" s="5" t="s">
        <v>45</v>
      </c>
      <c r="B16" s="9" t="s">
        <v>46</v>
      </c>
      <c r="C16" s="7"/>
    </row>
    <row r="17" spans="1:3" ht="48" customHeight="1">
      <c r="A17" s="5" t="s">
        <v>47</v>
      </c>
      <c r="B17" s="9" t="s">
        <v>48</v>
      </c>
      <c r="C17" s="7"/>
    </row>
    <row r="18" spans="1:3" ht="48" customHeight="1">
      <c r="A18" s="6" t="s">
        <v>49</v>
      </c>
      <c r="B18" s="10" t="s">
        <v>50</v>
      </c>
      <c r="C18" s="7"/>
    </row>
  </sheetData>
  <mergeCells count="1">
    <mergeCell ref="A1:C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4"/>
  <sheetViews>
    <sheetView showGridLines="0" tabSelected="1" workbookViewId="0">
      <selection sqref="A1:G1"/>
    </sheetView>
  </sheetViews>
  <sheetFormatPr defaultRowHeight="14.25"/>
  <cols>
    <col min="1" max="1" width="9" customWidth="1"/>
    <col min="2" max="2" width="28" customWidth="1"/>
    <col min="3" max="3" width="44" customWidth="1"/>
    <col min="4" max="4" width="58" customWidth="1"/>
    <col min="5" max="5" width="48" customWidth="1"/>
    <col min="6" max="6" width="58" customWidth="1"/>
    <col min="7" max="7" width="14" customWidth="1"/>
  </cols>
  <sheetData>
    <row r="1" spans="1:7" ht="30" customHeight="1">
      <c r="A1" s="12" t="s">
        <v>51</v>
      </c>
      <c r="B1" s="12"/>
      <c r="C1" s="12"/>
      <c r="D1" s="12"/>
      <c r="E1" s="12"/>
      <c r="F1" s="12"/>
      <c r="G1" s="12"/>
    </row>
    <row r="3" spans="1:7" ht="30" customHeight="1">
      <c r="A3" s="3" t="s">
        <v>52</v>
      </c>
      <c r="B3" s="3" t="s">
        <v>53</v>
      </c>
      <c r="C3" s="3" t="s">
        <v>54</v>
      </c>
      <c r="D3" s="3" t="s">
        <v>19</v>
      </c>
      <c r="E3" s="3" t="s">
        <v>55</v>
      </c>
      <c r="F3" s="3" t="s">
        <v>20</v>
      </c>
      <c r="G3" s="3" t="s">
        <v>56</v>
      </c>
    </row>
    <row r="4" spans="1:7" ht="62.1" customHeight="1">
      <c r="A4" s="4" t="s">
        <v>57</v>
      </c>
      <c r="B4" s="8" t="s">
        <v>58</v>
      </c>
      <c r="C4" s="8" t="s">
        <v>59</v>
      </c>
      <c r="D4" s="8" t="s">
        <v>60</v>
      </c>
      <c r="E4" s="8" t="s">
        <v>61</v>
      </c>
      <c r="F4" s="7"/>
      <c r="G4" s="11"/>
    </row>
    <row r="5" spans="1:7" ht="62.1" customHeight="1">
      <c r="A5" s="5" t="s">
        <v>62</v>
      </c>
      <c r="B5" s="9" t="s">
        <v>63</v>
      </c>
      <c r="C5" s="9" t="s">
        <v>64</v>
      </c>
      <c r="D5" s="9" t="s">
        <v>65</v>
      </c>
      <c r="E5" s="9" t="s">
        <v>66</v>
      </c>
      <c r="F5" s="7"/>
      <c r="G5" s="11"/>
    </row>
    <row r="6" spans="1:7" ht="62.1" customHeight="1">
      <c r="A6" s="5" t="s">
        <v>67</v>
      </c>
      <c r="B6" s="9" t="s">
        <v>68</v>
      </c>
      <c r="C6" s="9" t="s">
        <v>69</v>
      </c>
      <c r="D6" s="9" t="s">
        <v>70</v>
      </c>
      <c r="E6" s="9" t="s">
        <v>71</v>
      </c>
      <c r="F6" s="7"/>
      <c r="G6" s="11"/>
    </row>
    <row r="7" spans="1:7" ht="62.1" customHeight="1">
      <c r="A7" s="5" t="s">
        <v>72</v>
      </c>
      <c r="B7" s="9" t="s">
        <v>73</v>
      </c>
      <c r="C7" s="9" t="s">
        <v>74</v>
      </c>
      <c r="D7" s="9" t="s">
        <v>75</v>
      </c>
      <c r="E7" s="9" t="s">
        <v>76</v>
      </c>
      <c r="F7" s="7"/>
      <c r="G7" s="11"/>
    </row>
    <row r="8" spans="1:7" ht="62.1" customHeight="1">
      <c r="A8" s="5" t="s">
        <v>77</v>
      </c>
      <c r="B8" s="9" t="s">
        <v>78</v>
      </c>
      <c r="C8" s="9" t="s">
        <v>79</v>
      </c>
      <c r="D8" s="9" t="s">
        <v>80</v>
      </c>
      <c r="E8" s="9" t="s">
        <v>81</v>
      </c>
      <c r="F8" s="7"/>
      <c r="G8" s="11"/>
    </row>
    <row r="9" spans="1:7" ht="62.1" customHeight="1">
      <c r="A9" s="5" t="s">
        <v>82</v>
      </c>
      <c r="B9" s="9" t="s">
        <v>83</v>
      </c>
      <c r="C9" s="9" t="s">
        <v>84</v>
      </c>
      <c r="D9" s="9" t="s">
        <v>85</v>
      </c>
      <c r="E9" s="9" t="s">
        <v>86</v>
      </c>
      <c r="F9" s="7"/>
      <c r="G9" s="11"/>
    </row>
    <row r="10" spans="1:7" ht="62.1" customHeight="1">
      <c r="A10" s="5" t="s">
        <v>87</v>
      </c>
      <c r="B10" s="9" t="s">
        <v>88</v>
      </c>
      <c r="C10" s="9" t="s">
        <v>89</v>
      </c>
      <c r="D10" s="9" t="s">
        <v>90</v>
      </c>
      <c r="E10" s="9" t="s">
        <v>91</v>
      </c>
      <c r="F10" s="7"/>
      <c r="G10" s="11"/>
    </row>
    <row r="11" spans="1:7" ht="62.1" customHeight="1">
      <c r="A11" s="5" t="s">
        <v>92</v>
      </c>
      <c r="B11" s="9" t="s">
        <v>93</v>
      </c>
      <c r="C11" s="9" t="s">
        <v>94</v>
      </c>
      <c r="D11" s="9" t="s">
        <v>95</v>
      </c>
      <c r="E11" s="9" t="s">
        <v>96</v>
      </c>
      <c r="F11" s="7"/>
      <c r="G11" s="11"/>
    </row>
    <row r="12" spans="1:7" ht="62.1" customHeight="1">
      <c r="A12" s="5" t="s">
        <v>97</v>
      </c>
      <c r="B12" s="9" t="s">
        <v>98</v>
      </c>
      <c r="C12" s="9" t="s">
        <v>99</v>
      </c>
      <c r="D12" s="9" t="s">
        <v>100</v>
      </c>
      <c r="E12" s="9" t="s">
        <v>101</v>
      </c>
      <c r="F12" s="7"/>
      <c r="G12" s="11"/>
    </row>
    <row r="13" spans="1:7" ht="62.1" customHeight="1">
      <c r="A13" s="5" t="s">
        <v>102</v>
      </c>
      <c r="B13" s="9" t="s">
        <v>103</v>
      </c>
      <c r="C13" s="9" t="s">
        <v>104</v>
      </c>
      <c r="D13" s="9" t="s">
        <v>105</v>
      </c>
      <c r="E13" s="9" t="s">
        <v>106</v>
      </c>
      <c r="F13" s="7"/>
      <c r="G13" s="11"/>
    </row>
    <row r="14" spans="1:7" ht="62.1" customHeight="1">
      <c r="A14" s="5" t="s">
        <v>107</v>
      </c>
      <c r="B14" s="9" t="s">
        <v>108</v>
      </c>
      <c r="C14" s="9" t="s">
        <v>109</v>
      </c>
      <c r="D14" s="9" t="s">
        <v>110</v>
      </c>
      <c r="E14" s="9" t="s">
        <v>111</v>
      </c>
      <c r="F14" s="7"/>
      <c r="G14" s="11"/>
    </row>
    <row r="15" spans="1:7" ht="62.1" customHeight="1">
      <c r="A15" s="5" t="s">
        <v>112</v>
      </c>
      <c r="B15" s="9" t="s">
        <v>113</v>
      </c>
      <c r="C15" s="9" t="s">
        <v>114</v>
      </c>
      <c r="D15" s="9" t="s">
        <v>115</v>
      </c>
      <c r="E15" s="9" t="s">
        <v>116</v>
      </c>
      <c r="F15" s="7"/>
      <c r="G15" s="11"/>
    </row>
    <row r="16" spans="1:7" ht="62.1" customHeight="1">
      <c r="A16" s="5" t="s">
        <v>117</v>
      </c>
      <c r="B16" s="9" t="s">
        <v>118</v>
      </c>
      <c r="C16" s="9" t="s">
        <v>119</v>
      </c>
      <c r="D16" s="9" t="s">
        <v>120</v>
      </c>
      <c r="E16" s="9" t="s">
        <v>121</v>
      </c>
      <c r="F16" s="7"/>
      <c r="G16" s="11"/>
    </row>
    <row r="17" spans="1:7" ht="62.1" customHeight="1">
      <c r="A17" s="5" t="s">
        <v>122</v>
      </c>
      <c r="B17" s="9" t="s">
        <v>123</v>
      </c>
      <c r="C17" s="9" t="s">
        <v>124</v>
      </c>
      <c r="D17" s="9" t="s">
        <v>125</v>
      </c>
      <c r="E17" s="9" t="s">
        <v>126</v>
      </c>
      <c r="F17" s="7"/>
      <c r="G17" s="11"/>
    </row>
    <row r="18" spans="1:7" ht="62.1" customHeight="1">
      <c r="A18" s="5" t="s">
        <v>127</v>
      </c>
      <c r="B18" s="9" t="s">
        <v>128</v>
      </c>
      <c r="C18" s="9" t="s">
        <v>129</v>
      </c>
      <c r="D18" s="9" t="s">
        <v>130</v>
      </c>
      <c r="E18" s="9" t="s">
        <v>131</v>
      </c>
      <c r="F18" s="7"/>
      <c r="G18" s="11"/>
    </row>
    <row r="19" spans="1:7" ht="62.1" customHeight="1">
      <c r="A19" s="5" t="s">
        <v>132</v>
      </c>
      <c r="B19" s="9" t="s">
        <v>133</v>
      </c>
      <c r="C19" s="9" t="s">
        <v>134</v>
      </c>
      <c r="D19" s="9" t="s">
        <v>135</v>
      </c>
      <c r="E19" s="9" t="s">
        <v>136</v>
      </c>
      <c r="F19" s="7"/>
      <c r="G19" s="11"/>
    </row>
    <row r="20" spans="1:7" ht="62.1" customHeight="1">
      <c r="A20" s="5" t="s">
        <v>137</v>
      </c>
      <c r="B20" s="9" t="s">
        <v>138</v>
      </c>
      <c r="C20" s="9" t="s">
        <v>139</v>
      </c>
      <c r="D20" s="9" t="s">
        <v>140</v>
      </c>
      <c r="E20" s="9" t="s">
        <v>141</v>
      </c>
      <c r="F20" s="7"/>
      <c r="G20" s="11"/>
    </row>
    <row r="21" spans="1:7" ht="62.1" customHeight="1">
      <c r="A21" s="5" t="s">
        <v>142</v>
      </c>
      <c r="B21" s="9" t="s">
        <v>143</v>
      </c>
      <c r="C21" s="9" t="s">
        <v>144</v>
      </c>
      <c r="D21" s="9" t="s">
        <v>145</v>
      </c>
      <c r="E21" s="9" t="s">
        <v>121</v>
      </c>
      <c r="F21" s="7"/>
      <c r="G21" s="11"/>
    </row>
    <row r="22" spans="1:7" ht="62.1" customHeight="1">
      <c r="A22" s="5" t="s">
        <v>146</v>
      </c>
      <c r="B22" s="9" t="s">
        <v>147</v>
      </c>
      <c r="C22" s="9" t="s">
        <v>148</v>
      </c>
      <c r="D22" s="9" t="s">
        <v>149</v>
      </c>
      <c r="E22" s="9" t="s">
        <v>150</v>
      </c>
      <c r="F22" s="7"/>
      <c r="G22" s="11"/>
    </row>
    <row r="23" spans="1:7" ht="62.1" customHeight="1">
      <c r="A23" s="5" t="s">
        <v>151</v>
      </c>
      <c r="B23" s="9" t="s">
        <v>152</v>
      </c>
      <c r="C23" s="9" t="s">
        <v>153</v>
      </c>
      <c r="D23" s="9" t="s">
        <v>154</v>
      </c>
      <c r="E23" s="9" t="s">
        <v>155</v>
      </c>
      <c r="F23" s="7"/>
      <c r="G23" s="11"/>
    </row>
    <row r="24" spans="1:7" ht="62.1" customHeight="1">
      <c r="A24" s="5" t="s">
        <v>156</v>
      </c>
      <c r="B24" s="9" t="s">
        <v>157</v>
      </c>
      <c r="C24" s="9" t="s">
        <v>158</v>
      </c>
      <c r="D24" s="9" t="s">
        <v>159</v>
      </c>
      <c r="E24" s="9" t="s">
        <v>160</v>
      </c>
      <c r="F24" s="7"/>
      <c r="G24" s="11"/>
    </row>
    <row r="25" spans="1:7" ht="62.1" customHeight="1">
      <c r="A25" s="5" t="s">
        <v>161</v>
      </c>
      <c r="B25" s="9" t="s">
        <v>162</v>
      </c>
      <c r="C25" s="9" t="s">
        <v>163</v>
      </c>
      <c r="D25" s="9" t="s">
        <v>164</v>
      </c>
      <c r="E25" s="9" t="s">
        <v>121</v>
      </c>
      <c r="F25" s="7"/>
      <c r="G25" s="11"/>
    </row>
    <row r="26" spans="1:7" ht="62.1" customHeight="1">
      <c r="A26" s="5" t="s">
        <v>165</v>
      </c>
      <c r="B26" s="9" t="s">
        <v>166</v>
      </c>
      <c r="C26" s="9" t="s">
        <v>167</v>
      </c>
      <c r="D26" s="9" t="s">
        <v>168</v>
      </c>
      <c r="E26" s="9" t="s">
        <v>169</v>
      </c>
      <c r="F26" s="7"/>
      <c r="G26" s="11"/>
    </row>
    <row r="27" spans="1:7" ht="62.1" customHeight="1">
      <c r="A27" s="5" t="s">
        <v>170</v>
      </c>
      <c r="B27" s="9" t="s">
        <v>171</v>
      </c>
      <c r="C27" s="9" t="s">
        <v>172</v>
      </c>
      <c r="D27" s="9" t="s">
        <v>173</v>
      </c>
      <c r="E27" s="9" t="s">
        <v>174</v>
      </c>
      <c r="F27" s="7"/>
      <c r="G27" s="11"/>
    </row>
    <row r="28" spans="1:7" ht="62.1" customHeight="1">
      <c r="A28" s="5" t="s">
        <v>175</v>
      </c>
      <c r="B28" s="9" t="s">
        <v>176</v>
      </c>
      <c r="C28" s="9" t="s">
        <v>177</v>
      </c>
      <c r="D28" s="9" t="s">
        <v>178</v>
      </c>
      <c r="E28" s="9" t="s">
        <v>179</v>
      </c>
      <c r="F28" s="7"/>
      <c r="G28" s="11"/>
    </row>
    <row r="29" spans="1:7" ht="62.1" customHeight="1">
      <c r="A29" s="5" t="s">
        <v>180</v>
      </c>
      <c r="B29" s="9" t="s">
        <v>181</v>
      </c>
      <c r="C29" s="9" t="s">
        <v>182</v>
      </c>
      <c r="D29" s="9" t="s">
        <v>183</v>
      </c>
      <c r="E29" s="9" t="s">
        <v>184</v>
      </c>
      <c r="F29" s="7"/>
      <c r="G29" s="11"/>
    </row>
    <row r="30" spans="1:7" ht="62.1" customHeight="1">
      <c r="A30" s="5" t="s">
        <v>185</v>
      </c>
      <c r="B30" s="9" t="s">
        <v>186</v>
      </c>
      <c r="C30" s="9" t="s">
        <v>187</v>
      </c>
      <c r="D30" s="9" t="s">
        <v>188</v>
      </c>
      <c r="E30" s="9" t="s">
        <v>189</v>
      </c>
      <c r="F30" s="7"/>
      <c r="G30" s="11"/>
    </row>
    <row r="31" spans="1:7" ht="62.1" customHeight="1">
      <c r="A31" s="5" t="s">
        <v>190</v>
      </c>
      <c r="B31" s="9" t="s">
        <v>191</v>
      </c>
      <c r="C31" s="9" t="s">
        <v>192</v>
      </c>
      <c r="D31" s="9" t="s">
        <v>193</v>
      </c>
      <c r="E31" s="9" t="s">
        <v>194</v>
      </c>
      <c r="F31" s="7"/>
      <c r="G31" s="11"/>
    </row>
    <row r="32" spans="1:7" ht="62.1" customHeight="1">
      <c r="A32" s="5" t="s">
        <v>195</v>
      </c>
      <c r="B32" s="9" t="s">
        <v>196</v>
      </c>
      <c r="C32" s="9" t="s">
        <v>197</v>
      </c>
      <c r="D32" s="9" t="s">
        <v>198</v>
      </c>
      <c r="E32" s="9" t="s">
        <v>199</v>
      </c>
      <c r="F32" s="7"/>
      <c r="G32" s="11"/>
    </row>
    <row r="33" spans="1:7" ht="62.1" customHeight="1">
      <c r="A33" s="5" t="s">
        <v>200</v>
      </c>
      <c r="B33" s="9" t="s">
        <v>201</v>
      </c>
      <c r="C33" s="9" t="s">
        <v>202</v>
      </c>
      <c r="D33" s="9" t="s">
        <v>203</v>
      </c>
      <c r="E33" s="9" t="s">
        <v>204</v>
      </c>
      <c r="F33" s="7"/>
      <c r="G33" s="11"/>
    </row>
    <row r="34" spans="1:7" ht="62.1" customHeight="1">
      <c r="A34" s="6" t="s">
        <v>205</v>
      </c>
      <c r="B34" s="10" t="s">
        <v>206</v>
      </c>
      <c r="C34" s="10" t="s">
        <v>207</v>
      </c>
      <c r="D34" s="10" t="s">
        <v>208</v>
      </c>
      <c r="E34" s="10" t="s">
        <v>209</v>
      </c>
      <c r="F34" s="7"/>
      <c r="G34" s="11"/>
    </row>
  </sheetData>
  <mergeCells count="1">
    <mergeCell ref="A1:G1"/>
  </mergeCells>
  <dataValidations count="1">
    <dataValidation type="list" sqref="G4:G34" xr:uid="{00000000-0002-0000-0200-000000000000}">
      <formula1>"Keep,Change,Remove,Add"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D13"/>
  <sheetViews>
    <sheetView showGridLines="0" workbookViewId="0">
      <selection sqref="A1:D1"/>
    </sheetView>
  </sheetViews>
  <sheetFormatPr defaultRowHeight="14.25"/>
  <cols>
    <col min="1" max="1" width="28" customWidth="1"/>
    <col min="2" max="3" width="74" customWidth="1"/>
    <col min="4" max="4" width="16" customWidth="1"/>
  </cols>
  <sheetData>
    <row r="1" spans="1:4" ht="30" customHeight="1">
      <c r="A1" s="12" t="s">
        <v>210</v>
      </c>
      <c r="B1" s="12"/>
      <c r="C1" s="12"/>
      <c r="D1" s="12"/>
    </row>
    <row r="3" spans="1:4" ht="30" customHeight="1">
      <c r="A3" s="3" t="s">
        <v>211</v>
      </c>
      <c r="B3" s="3" t="s">
        <v>212</v>
      </c>
      <c r="C3" s="3" t="s">
        <v>213</v>
      </c>
      <c r="D3" s="3" t="s">
        <v>56</v>
      </c>
    </row>
    <row r="4" spans="1:4" ht="54" customHeight="1">
      <c r="A4" s="4" t="s">
        <v>214</v>
      </c>
      <c r="B4" s="8" t="s">
        <v>215</v>
      </c>
      <c r="C4" s="7"/>
      <c r="D4" s="11"/>
    </row>
    <row r="5" spans="1:4" ht="54" customHeight="1">
      <c r="A5" s="5" t="s">
        <v>216</v>
      </c>
      <c r="B5" s="9" t="s">
        <v>217</v>
      </c>
      <c r="C5" s="7"/>
      <c r="D5" s="11"/>
    </row>
    <row r="6" spans="1:4" ht="54" customHeight="1">
      <c r="A6" s="5" t="s">
        <v>218</v>
      </c>
      <c r="B6" s="9" t="s">
        <v>219</v>
      </c>
      <c r="C6" s="7"/>
      <c r="D6" s="11"/>
    </row>
    <row r="7" spans="1:4" ht="54" customHeight="1">
      <c r="A7" s="5" t="s">
        <v>220</v>
      </c>
      <c r="B7" s="9" t="s">
        <v>221</v>
      </c>
      <c r="C7" s="7"/>
      <c r="D7" s="11"/>
    </row>
    <row r="8" spans="1:4" ht="54" customHeight="1">
      <c r="A8" s="5" t="s">
        <v>222</v>
      </c>
      <c r="B8" s="9" t="s">
        <v>223</v>
      </c>
      <c r="C8" s="7"/>
      <c r="D8" s="11"/>
    </row>
    <row r="9" spans="1:4" ht="54" customHeight="1">
      <c r="A9" s="5" t="s">
        <v>224</v>
      </c>
      <c r="B9" s="9" t="s">
        <v>225</v>
      </c>
      <c r="C9" s="7"/>
      <c r="D9" s="11"/>
    </row>
    <row r="10" spans="1:4" ht="54" customHeight="1">
      <c r="A10" s="5" t="s">
        <v>226</v>
      </c>
      <c r="B10" s="9" t="s">
        <v>227</v>
      </c>
      <c r="C10" s="7"/>
      <c r="D10" s="11"/>
    </row>
    <row r="11" spans="1:4" ht="54" customHeight="1">
      <c r="A11" s="5" t="s">
        <v>228</v>
      </c>
      <c r="B11" s="9" t="s">
        <v>229</v>
      </c>
      <c r="C11" s="7"/>
      <c r="D11" s="11"/>
    </row>
    <row r="12" spans="1:4" ht="54" customHeight="1">
      <c r="A12" s="5" t="s">
        <v>230</v>
      </c>
      <c r="B12" s="9" t="s">
        <v>231</v>
      </c>
      <c r="C12" s="7"/>
      <c r="D12" s="11"/>
    </row>
    <row r="13" spans="1:4" ht="54" customHeight="1">
      <c r="A13" s="6" t="s">
        <v>232</v>
      </c>
      <c r="B13" s="10" t="s">
        <v>233</v>
      </c>
      <c r="C13" s="7"/>
      <c r="D13" s="11"/>
    </row>
  </sheetData>
  <mergeCells count="1">
    <mergeCell ref="A1:D1"/>
  </mergeCells>
  <dataValidations count="1">
    <dataValidation type="list" sqref="D4:D13" xr:uid="{00000000-0002-0000-0300-000000000000}">
      <formula1>"Open,Agreed,Revise,Deferred"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เวิร์กชีต</vt:lpstr>
      </vt:variant>
      <vt:variant>
        <vt:i4>4</vt:i4>
      </vt:variant>
    </vt:vector>
  </HeadingPairs>
  <TitlesOfParts>
    <vt:vector size="4" baseType="lpstr">
      <vt:lpstr>ภาพรวม</vt:lpstr>
      <vt:lpstr>องค์ประกอบ</vt:lpstr>
      <vt:lpstr>คำสั่ง CLI</vt:lpstr>
      <vt:lpstr>Product Contract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Pasitbordin Janpook</cp:lastModifiedBy>
  <dcterms:modified xsi:type="dcterms:W3CDTF">2026-08-21T14:19:01Z</dcterms:modified>
</cp:coreProperties>
</file>